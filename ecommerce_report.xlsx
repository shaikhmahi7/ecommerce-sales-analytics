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hi\OneDrive\Desktop\ecommerce-sales-analytics\Output\"/>
    </mc:Choice>
  </mc:AlternateContent>
  <xr:revisionPtr revIDLastSave="0" documentId="13_ncr:1_{22F1954A-7664-4372-B224-6E9DE4FED936}" xr6:coauthVersionLast="47" xr6:coauthVersionMax="47" xr10:uidLastSave="{00000000-0000-0000-0000-000000000000}"/>
  <bookViews>
    <workbookView xWindow="11424" yWindow="0" windowWidth="11712" windowHeight="13056" activeTab="1" xr2:uid="{00000000-000D-0000-FFFF-FFFF00000000}"/>
  </bookViews>
  <sheets>
    <sheet name="KPI Summary" sheetId="1" r:id="rId1"/>
    <sheet name="Sheet1" sheetId="5" r:id="rId2"/>
    <sheet name="Revenue by State" sheetId="2" r:id="rId3"/>
    <sheet name="Monthly Trend" sheetId="3" r:id="rId4"/>
    <sheet name="Delivery Analysis" sheetId="4" r:id="rId5"/>
  </sheets>
  <definedNames>
    <definedName name="Slicer_State">#N/A</definedName>
  </definedNames>
  <calcPr calcId="0"/>
  <pivotCaches>
    <pivotCache cacheId="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<sst xmlns="http://schemas.openxmlformats.org/spreadsheetml/2006/main" count="78" uniqueCount="70">
  <si>
    <t>KPI Metric</t>
  </si>
  <si>
    <t>Value</t>
  </si>
  <si>
    <t>Total Orders</t>
  </si>
  <si>
    <t>Total Revenue (R$)</t>
  </si>
  <si>
    <t>Avg Order Value (R$)</t>
  </si>
  <si>
    <t>Total Customers</t>
  </si>
  <si>
    <t>Avg Review Score</t>
  </si>
  <si>
    <t>Total Late Orders</t>
  </si>
  <si>
    <t>Late Delivery Rate</t>
  </si>
  <si>
    <t>7.9%</t>
  </si>
  <si>
    <t>Avg Delivery Days</t>
  </si>
  <si>
    <t>State</t>
  </si>
  <si>
    <t>Avg Order Value</t>
  </si>
  <si>
    <t>SP</t>
  </si>
  <si>
    <t>RJ</t>
  </si>
  <si>
    <t>MG</t>
  </si>
  <si>
    <t>RS</t>
  </si>
  <si>
    <t>PR</t>
  </si>
  <si>
    <t>SC</t>
  </si>
  <si>
    <t>BA</t>
  </si>
  <si>
    <t>DF</t>
  </si>
  <si>
    <t>GO</t>
  </si>
  <si>
    <t>ES</t>
  </si>
  <si>
    <t>PE</t>
  </si>
  <si>
    <t>CE</t>
  </si>
  <si>
    <t>PA</t>
  </si>
  <si>
    <t>MT</t>
  </si>
  <si>
    <t>MA</t>
  </si>
  <si>
    <t>MS</t>
  </si>
  <si>
    <t>PB</t>
  </si>
  <si>
    <t>PI</t>
  </si>
  <si>
    <t>RN</t>
  </si>
  <si>
    <t>AL</t>
  </si>
  <si>
    <t>SE</t>
  </si>
  <si>
    <t>TO</t>
  </si>
  <si>
    <t>RO</t>
  </si>
  <si>
    <t>AM</t>
  </si>
  <si>
    <t>AC</t>
  </si>
  <si>
    <t>AP</t>
  </si>
  <si>
    <t>RR</t>
  </si>
  <si>
    <t>Month</t>
  </si>
  <si>
    <t>MoM Growth %</t>
  </si>
  <si>
    <t>2016-09</t>
  </si>
  <si>
    <t>2016-10</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</si>
  <si>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</si>
  <si>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</si>
  <si>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</si>
  <si>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</si>
  <si>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</si>
  <si>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</si>
  <si>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</si>
  <si>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</si>
  <si>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</si>
  <si>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</si>
  <si>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</si>
  <si>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</si>
  <si>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</si>
  <si>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</si>
  <si>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</si>
  <si>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</si>
  <si>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</si>
  <si>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</si>
  <si>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</si>
  <si>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</si>
  <si>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</si>
  <si>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Review Score</t>
  </si>
  <si>
    <t>Late Rate %</t>
  </si>
  <si>
    <t>Row Labels</t>
  </si>
  <si>
    <t>Grand Total</t>
  </si>
  <si>
    <t>Sum of Total Revenue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</si>
</sst>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85FA5"/>
      </patternFill>
    </fill>
    <fill>
      <patternFill patternType="solid">
        <fgColor rgb="FFE6F1FB"/>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0" fillId="3" borderId="0" xfId="0"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3</xdr:col>
      <xdr:colOff>129540</xdr:colOff>
      <xdr:row>2</xdr:row>
      <xdr:rowOff>53340</xdr:rowOff>
    </xdr:from>
    <xdr:to>
      <xdr:col>6</xdr:col>
      <xdr:colOff>129540</xdr:colOff>
      <xdr:row>15</xdr:row>
      <xdr:rowOff>142875</xdr:rowOff>
    </xdr:to>
    <mc:AlternateContent xmlns:mc="http://schemas.openxmlformats.org/markup-compatibility/2006">
      <mc:Choice xmlns:a14="http://schemas.microsoft.com/office/drawing/2010/main" Requires="a14">
        <xdr:graphicFrame macro="">
          <xdr:nvGraphicFramePr>
            <xdr:cNvPr id="2" name="State">
              <a:extLst>
                <a:ext uri="{FF2B5EF4-FFF2-40B4-BE49-F238E27FC236}">
                  <a16:creationId xmlns:a16="http://schemas.microsoft.com/office/drawing/2014/main" id="{33F8DA4A-F96A-828E-4BA3-0AD1C414B00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22326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 refreshedDate="46147.563099305553" createdVersion="8" refreshedVersion="8" minRefreshableVersion="3" recordCount="27" xr:uid="{2E433916-C974-478C-BF0D-F0072F28F052}">
  <cacheSource type="worksheet">
    <worksheetSource ref="A1:E28" sheet="Revenue by State"/>
  </cacheSource>
  <cacheFields count="5">
    <cacheField name="State" numFmtId="0">
      <sharedItems count="27">
        <s v="SP"/>
        <s v="RJ"/>
        <s v="MG"/>
        <s v="RS"/>
        <s v="PR"/>
        <s v="SC"/>
        <s v="BA"/>
        <s v="DF"/>
        <s v="GO"/>
        <s v="ES"/>
        <s v="PE"/>
        <s v="CE"/>
        <s v="PA"/>
        <s v="MT"/>
        <s v="MA"/>
        <s v="MS"/>
        <s v="PB"/>
        <s v="PI"/>
        <s v="RN"/>
        <s v="AL"/>
        <s v="SE"/>
        <s v="TO"/>
        <s v="RO"/>
        <s v="AM"/>
        <s v="AC"/>
        <s v="AP"/>
        <s v="RR"/>
      </sharedItems>
    </cacheField>
    <cacheField name="Total Orders" numFmtId="0">
      <sharedItems containsSemiMixedTypes="0" containsString="0" containsNumber="1" containsInteger="1" minValue="41" maxValue="40501"/>
    </cacheField>
    <cacheField name="Total Revenue (R$)" numFmtId="0">
      <sharedItems containsSemiMixedTypes="0" containsString="0" containsNumber="1" minValue="7057.47" maxValue="5093379.5"/>
    </cacheField>
    <cacheField name="Avg Order Value" numFmtId="0">
      <sharedItems containsSemiMixedTypes="0" containsString="0" containsNumber="1" minValue="109.03" maxValue="191.95"/>
    </cacheField>
    <cacheField name="Avg Review Score" numFmtId="0">
      <sharedItems containsSemiMixedTypes="0" containsString="0" containsNumber="1" minValue="3.77" maxValue="4.26"/>
    </cacheField>
  </cacheFields>
  <extLst>
    <ext xmlns:x14="http://schemas.microsoft.com/office/spreadsheetml/2009/9/main" uri="{725AE2AE-9491-48be-B2B4-4EB974FC3084}">
      <x14:pivotCacheDefinition pivotCacheId="911486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40501"/>
    <n v="5093379.5"/>
    <n v="109.03"/>
    <n v="4.18"/>
  </r>
  <r>
    <x v="1"/>
    <n v="12350"/>
    <n v="1766256.97"/>
    <n v="124.17"/>
    <n v="3.87"/>
  </r>
  <r>
    <x v="2"/>
    <n v="11354"/>
    <n v="1558668.28"/>
    <n v="119.94"/>
    <n v="4.12"/>
  </r>
  <r>
    <x v="3"/>
    <n v="5345"/>
    <n v="732420.8"/>
    <n v="118.48"/>
    <n v="4.09"/>
  </r>
  <r>
    <x v="4"/>
    <n v="4923"/>
    <n v="668891.26"/>
    <n v="117.91"/>
    <n v="4.1399999999999997"/>
  </r>
  <r>
    <x v="5"/>
    <n v="3546"/>
    <n v="508578.9"/>
    <n v="123.68"/>
    <n v="4.05"/>
  </r>
  <r>
    <x v="6"/>
    <n v="3256"/>
    <n v="495416.93"/>
    <n v="133.79"/>
    <n v="3.86"/>
  </r>
  <r>
    <x v="7"/>
    <n v="2080"/>
    <n v="298492.74"/>
    <n v="125.36"/>
    <n v="4.0599999999999996"/>
  </r>
  <r>
    <x v="8"/>
    <n v="1957"/>
    <n v="285780.24"/>
    <n v="124.41"/>
    <n v="4.04"/>
  </r>
  <r>
    <x v="9"/>
    <n v="1995"/>
    <n v="269230.52"/>
    <n v="120.41"/>
    <n v="4.0199999999999996"/>
  </r>
  <r>
    <x v="10"/>
    <n v="1593"/>
    <n v="252903.1"/>
    <n v="143.86000000000001"/>
    <n v="4.0199999999999996"/>
  </r>
  <r>
    <x v="11"/>
    <n v="1279"/>
    <n v="220434.27"/>
    <n v="154.04"/>
    <n v="3.87"/>
  </r>
  <r>
    <x v="12"/>
    <n v="946"/>
    <n v="174952.64"/>
    <n v="164.89"/>
    <n v="3.84"/>
  </r>
  <r>
    <x v="13"/>
    <n v="886"/>
    <n v="152479.32"/>
    <n v="146.61000000000001"/>
    <n v="4.01"/>
  </r>
  <r>
    <x v="14"/>
    <n v="717"/>
    <n v="117205.26"/>
    <n v="145.6"/>
    <n v="3.77"/>
  </r>
  <r>
    <x v="15"/>
    <n v="701"/>
    <n v="116835.04"/>
    <n v="141.96"/>
    <n v="4.07"/>
  </r>
  <r>
    <x v="16"/>
    <n v="517"/>
    <n v="112676.72"/>
    <n v="191.95"/>
    <n v="4.04"/>
  </r>
  <r>
    <x v="17"/>
    <n v="476"/>
    <n v="84781"/>
    <n v="161.80000000000001"/>
    <n v="3.96"/>
  </r>
  <r>
    <x v="18"/>
    <n v="474"/>
    <n v="82158.97"/>
    <n v="157.09"/>
    <n v="4.1100000000000003"/>
  </r>
  <r>
    <x v="19"/>
    <n v="397"/>
    <n v="79059.679999999993"/>
    <n v="183.43"/>
    <n v="3.82"/>
  </r>
  <r>
    <x v="20"/>
    <n v="335"/>
    <n v="56574.19"/>
    <n v="150.86000000000001"/>
    <n v="3.9"/>
  </r>
  <r>
    <x v="21"/>
    <n v="274"/>
    <n v="48402.51"/>
    <n v="156.13999999999999"/>
    <n v="4.16"/>
  </r>
  <r>
    <x v="22"/>
    <n v="243"/>
    <n v="45682.76"/>
    <n v="167.34"/>
    <n v="4.07"/>
  </r>
  <r>
    <x v="23"/>
    <n v="145"/>
    <n v="22211.74"/>
    <n v="135.44"/>
    <n v="4.09"/>
  </r>
  <r>
    <x v="24"/>
    <n v="80"/>
    <n v="15930.97"/>
    <n v="175.07"/>
    <n v="4.13"/>
  </r>
  <r>
    <x v="25"/>
    <n v="67"/>
    <n v="13374.81"/>
    <n v="165.12"/>
    <n v="4.26"/>
  </r>
  <r>
    <x v="26"/>
    <n v="41"/>
    <n v="7057.47"/>
    <n v="153.41999999999999"/>
    <n v="3.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39CED1-3002-42E5-B9FE-ADB22357F37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5">
    <pivotField axis="axisRow" showAll="0">
      <items count="28">
        <item x="24"/>
        <item h="1" x="19"/>
        <item h="1" x="23"/>
        <item h="1" x="25"/>
        <item h="1" x="6"/>
        <item h="1" x="11"/>
        <item h="1" x="7"/>
        <item h="1" x="9"/>
        <item h="1" x="8"/>
        <item h="1" x="14"/>
        <item h="1" x="2"/>
        <item h="1" x="15"/>
        <item h="1" x="13"/>
        <item h="1" x="12"/>
        <item h="1" x="16"/>
        <item h="1" x="10"/>
        <item h="1" x="17"/>
        <item h="1" x="4"/>
        <item h="1" x="1"/>
        <item h="1" x="18"/>
        <item h="1" x="22"/>
        <item h="1" x="26"/>
        <item h="1" x="3"/>
        <item h="1" x="5"/>
        <item h="1" x="20"/>
        <item h="1" x="0"/>
        <item h="1" x="21"/>
        <item t="default"/>
      </items>
    </pivotField>
    <pivotField showAll="0"/>
    <pivotField dataField="1" showAll="0"/>
    <pivotField showAll="0"/>
    <pivotField showAll="0"/>
  </pivotFields>
  <rowFields count="1">
    <field x="0"/>
  </rowFields>
  <rowItems count="2">
    <i>
      <x/>
    </i>
    <i t="grand">
      <x/>
    </i>
  </rowItems>
  <colItems count="1">
    <i/>
  </colItems>
  <dataFields count="1">
    <dataField name="Sum of Total Revenue (R$)"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36D5287-DA1D-4346-95E7-22116500EDF7}" sourceName="State">
  <pivotTables>
    <pivotTable tabId="5" name="PivotTable1"/>
  </pivotTables>
  <data>
    <tabular pivotCacheId="911486534">
      <items count="27">
        <i x="24" s="1"/>
        <i x="19"/>
        <i x="23"/>
        <i x="25"/>
        <i x="6"/>
        <i x="11"/>
        <i x="7"/>
        <i x="9"/>
        <i x="8"/>
        <i x="14"/>
        <i x="2"/>
        <i x="15"/>
        <i x="13"/>
        <i x="12"/>
        <i x="16"/>
        <i x="10"/>
        <i x="17"/>
        <i x="4"/>
        <i x="1"/>
        <i x="18"/>
        <i x="22"/>
        <i x="26"/>
        <i x="3"/>
        <i x="5"/>
        <i x="20"/>
        <i x="0"/>
        <i x="2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AF71FC5-EA2B-44C3-A458-35A04EAB9EF7}" cache="Slicer_State" caption="St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pane ySplit="1" topLeftCell="A2" activePane="bottomLeft" state="frozen"/>
      <selection pane="bottomLeft"/>
    </sheetView>
  </sheetViews>
  <sheetFormatPr defaultRowHeight="14.4" x14ac:dyDescent="0.3"/>
  <cols>
    <col min="1" max="1" width="25" customWidth="1"/>
    <col min="2" max="2" width="20" customWidth="1"/>
  </cols>
  <sheetData>
    <row r="1" spans="1:2" x14ac:dyDescent="0.3">
      <c r="A1" s="1" t="s">
        <v>0</v>
      </c>
      <c r="B1" s="1" t="s">
        <v>1</v>
      </c>
    </row>
    <row r="2" spans="1:2" x14ac:dyDescent="0.3">
      <c r="A2" s="2" t="s">
        <v>2</v>
      </c>
      <c r="B2" s="2">
        <v>96478</v>
      </c>
    </row>
    <row r="3" spans="1:2" x14ac:dyDescent="0.3">
      <c r="A3" t="s">
        <v>3</v>
      </c>
      <c r="B3">
        <v>13279836.59</v>
      </c>
    </row>
    <row r="4" spans="1:2" x14ac:dyDescent="0.3">
      <c r="A4" s="2" t="s">
        <v>4</v>
      </c>
      <c r="B4" s="2">
        <v>119.81</v>
      </c>
    </row>
    <row r="5" spans="1:2" x14ac:dyDescent="0.3">
      <c r="A5" t="s">
        <v>5</v>
      </c>
      <c r="B5">
        <v>96478</v>
      </c>
    </row>
    <row r="6" spans="1:2" x14ac:dyDescent="0.3">
      <c r="A6" s="2" t="s">
        <v>6</v>
      </c>
      <c r="B6" s="2">
        <v>4.08</v>
      </c>
    </row>
    <row r="7" spans="1:2" x14ac:dyDescent="0.3">
      <c r="A7" t="s">
        <v>7</v>
      </c>
      <c r="B7">
        <v>8755</v>
      </c>
    </row>
    <row r="8" spans="1:2" x14ac:dyDescent="0.3">
      <c r="A8" s="2" t="s">
        <v>8</v>
      </c>
      <c r="B8" s="2" t="s">
        <v>9</v>
      </c>
    </row>
    <row r="9" spans="1:2" x14ac:dyDescent="0.3">
      <c r="A9" t="s">
        <v>10</v>
      </c>
      <c r="B9">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78E2-805D-41E6-B1EB-1FA24DF82354}">
  <dimension ref="A3:B5"/>
  <sheetViews>
    <sheetView tabSelected="1" workbookViewId="0">
      <selection activeCell="B6" sqref="B6"/>
    </sheetView>
  </sheetViews>
  <sheetFormatPr defaultRowHeight="14.4" x14ac:dyDescent="0.3"/>
  <cols>
    <col min="1" max="1" width="12.5546875" bestFit="1" customWidth="1"/>
    <col min="2" max="2" width="23.6640625" bestFit="1" customWidth="1"/>
  </cols>
  <sheetData>
    <row r="3" spans="1:2" x14ac:dyDescent="0.3">
      <c r="A3" s="3" t="s">
        <v>67</v>
      </c>
      <c r="B3" t="s">
        <v>69</v>
      </c>
    </row>
    <row r="4" spans="1:2" x14ac:dyDescent="0.3">
      <c r="A4" s="4" t="s">
        <v>37</v>
      </c>
      <c r="B4" s="5">
        <v>15930.97</v>
      </c>
    </row>
    <row r="5" spans="1:2" x14ac:dyDescent="0.3">
      <c r="A5" s="4" t="s">
        <v>68</v>
      </c>
      <c r="B5" s="5">
        <v>15930.97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8"/>
  <sheetViews>
    <sheetView workbookViewId="0">
      <pane ySplit="1" topLeftCell="A2" activePane="bottomLeft" state="frozen"/>
      <selection pane="bottomLeft" activeCell="A2" sqref="A2"/>
    </sheetView>
  </sheetViews>
  <sheetFormatPr defaultRowHeight="14.4" x14ac:dyDescent="0.3"/>
  <cols>
    <col min="1" max="5" width="20" customWidth="1"/>
  </cols>
  <sheetData>
    <row r="1" spans="1:5" x14ac:dyDescent="0.3">
      <c r="A1" s="1" t="s">
        <v>11</v>
      </c>
      <c r="B1" s="1" t="s">
        <v>2</v>
      </c>
      <c r="C1" s="1" t="s">
        <v>3</v>
      </c>
      <c r="D1" s="1" t="s">
        <v>12</v>
      </c>
      <c r="E1" s="1" t="s">
        <v>6</v>
      </c>
    </row>
    <row r="2" spans="1:5" x14ac:dyDescent="0.3">
      <c r="A2" t="s">
        <v>13</v>
      </c>
      <c r="B2">
        <v>40501</v>
      </c>
      <c r="C2">
        <v>5093379.5</v>
      </c>
      <c r="D2">
        <v>109.03</v>
      </c>
      <c r="E2">
        <v>4.18</v>
      </c>
    </row>
    <row r="3" spans="1:5" x14ac:dyDescent="0.3">
      <c r="A3" t="s">
        <v>14</v>
      </c>
      <c r="B3">
        <v>12350</v>
      </c>
      <c r="C3">
        <v>1766256.97</v>
      </c>
      <c r="D3">
        <v>124.17</v>
      </c>
      <c r="E3">
        <v>3.87</v>
      </c>
    </row>
    <row r="4" spans="1:5" x14ac:dyDescent="0.3">
      <c r="A4" t="s">
        <v>15</v>
      </c>
      <c r="B4">
        <v>11354</v>
      </c>
      <c r="C4">
        <v>1558668.28</v>
      </c>
      <c r="D4">
        <v>119.94</v>
      </c>
      <c r="E4">
        <v>4.12</v>
      </c>
    </row>
    <row r="5" spans="1:5" x14ac:dyDescent="0.3">
      <c r="A5" t="s">
        <v>16</v>
      </c>
      <c r="B5">
        <v>5345</v>
      </c>
      <c r="C5">
        <v>732420.8</v>
      </c>
      <c r="D5">
        <v>118.48</v>
      </c>
      <c r="E5">
        <v>4.09</v>
      </c>
    </row>
    <row r="6" spans="1:5" x14ac:dyDescent="0.3">
      <c r="A6" t="s">
        <v>17</v>
      </c>
      <c r="B6">
        <v>4923</v>
      </c>
      <c r="C6">
        <v>668891.26</v>
      </c>
      <c r="D6">
        <v>117.91</v>
      </c>
      <c r="E6">
        <v>4.1399999999999997</v>
      </c>
    </row>
    <row r="7" spans="1:5" x14ac:dyDescent="0.3">
      <c r="A7" t="s">
        <v>18</v>
      </c>
      <c r="B7">
        <v>3546</v>
      </c>
      <c r="C7">
        <v>508578.9</v>
      </c>
      <c r="D7">
        <v>123.68</v>
      </c>
      <c r="E7">
        <v>4.05</v>
      </c>
    </row>
    <row r="8" spans="1:5" x14ac:dyDescent="0.3">
      <c r="A8" t="s">
        <v>19</v>
      </c>
      <c r="B8">
        <v>3256</v>
      </c>
      <c r="C8">
        <v>495416.93</v>
      </c>
      <c r="D8">
        <v>133.79</v>
      </c>
      <c r="E8">
        <v>3.86</v>
      </c>
    </row>
    <row r="9" spans="1:5" x14ac:dyDescent="0.3">
      <c r="A9" t="s">
        <v>20</v>
      </c>
      <c r="B9">
        <v>2080</v>
      </c>
      <c r="C9">
        <v>298492.74</v>
      </c>
      <c r="D9">
        <v>125.36</v>
      </c>
      <c r="E9">
        <v>4.0599999999999996</v>
      </c>
    </row>
    <row r="10" spans="1:5" x14ac:dyDescent="0.3">
      <c r="A10" t="s">
        <v>21</v>
      </c>
      <c r="B10">
        <v>1957</v>
      </c>
      <c r="C10">
        <v>285780.24</v>
      </c>
      <c r="D10">
        <v>124.41</v>
      </c>
      <c r="E10">
        <v>4.04</v>
      </c>
    </row>
    <row r="11" spans="1:5" x14ac:dyDescent="0.3">
      <c r="A11" t="s">
        <v>22</v>
      </c>
      <c r="B11">
        <v>1995</v>
      </c>
      <c r="C11">
        <v>269230.52</v>
      </c>
      <c r="D11">
        <v>120.41</v>
      </c>
      <c r="E11">
        <v>4.0199999999999996</v>
      </c>
    </row>
    <row r="12" spans="1:5" x14ac:dyDescent="0.3">
      <c r="A12" t="s">
        <v>23</v>
      </c>
      <c r="B12">
        <v>1593</v>
      </c>
      <c r="C12">
        <v>252903.1</v>
      </c>
      <c r="D12">
        <v>143.86000000000001</v>
      </c>
      <c r="E12">
        <v>4.0199999999999996</v>
      </c>
    </row>
    <row r="13" spans="1:5" x14ac:dyDescent="0.3">
      <c r="A13" t="s">
        <v>24</v>
      </c>
      <c r="B13">
        <v>1279</v>
      </c>
      <c r="C13">
        <v>220434.27</v>
      </c>
      <c r="D13">
        <v>154.04</v>
      </c>
      <c r="E13">
        <v>3.87</v>
      </c>
    </row>
    <row r="14" spans="1:5" x14ac:dyDescent="0.3">
      <c r="A14" t="s">
        <v>25</v>
      </c>
      <c r="B14">
        <v>946</v>
      </c>
      <c r="C14">
        <v>174952.64</v>
      </c>
      <c r="D14">
        <v>164.89</v>
      </c>
      <c r="E14">
        <v>3.84</v>
      </c>
    </row>
    <row r="15" spans="1:5" x14ac:dyDescent="0.3">
      <c r="A15" t="s">
        <v>26</v>
      </c>
      <c r="B15">
        <v>886</v>
      </c>
      <c r="C15">
        <v>152479.32</v>
      </c>
      <c r="D15">
        <v>146.61000000000001</v>
      </c>
      <c r="E15">
        <v>4.01</v>
      </c>
    </row>
    <row r="16" spans="1:5" x14ac:dyDescent="0.3">
      <c r="A16" t="s">
        <v>27</v>
      </c>
      <c r="B16">
        <v>717</v>
      </c>
      <c r="C16">
        <v>117205.26</v>
      </c>
      <c r="D16">
        <v>145.6</v>
      </c>
      <c r="E16">
        <v>3.77</v>
      </c>
    </row>
    <row r="17" spans="1:5" x14ac:dyDescent="0.3">
      <c r="A17" t="s">
        <v>28</v>
      </c>
      <c r="B17">
        <v>701</v>
      </c>
      <c r="C17">
        <v>116835.04</v>
      </c>
      <c r="D17">
        <v>141.96</v>
      </c>
      <c r="E17">
        <v>4.07</v>
      </c>
    </row>
    <row r="18" spans="1:5" x14ac:dyDescent="0.3">
      <c r="A18" t="s">
        <v>29</v>
      </c>
      <c r="B18">
        <v>517</v>
      </c>
      <c r="C18">
        <v>112676.72</v>
      </c>
      <c r="D18">
        <v>191.95</v>
      </c>
      <c r="E18">
        <v>4.04</v>
      </c>
    </row>
    <row r="19" spans="1:5" x14ac:dyDescent="0.3">
      <c r="A19" t="s">
        <v>30</v>
      </c>
      <c r="B19">
        <v>476</v>
      </c>
      <c r="C19">
        <v>84781</v>
      </c>
      <c r="D19">
        <v>161.80000000000001</v>
      </c>
      <c r="E19">
        <v>3.96</v>
      </c>
    </row>
    <row r="20" spans="1:5" x14ac:dyDescent="0.3">
      <c r="A20" t="s">
        <v>31</v>
      </c>
      <c r="B20">
        <v>474</v>
      </c>
      <c r="C20">
        <v>82158.97</v>
      </c>
      <c r="D20">
        <v>157.09</v>
      </c>
      <c r="E20">
        <v>4.1100000000000003</v>
      </c>
    </row>
    <row r="21" spans="1:5" x14ac:dyDescent="0.3">
      <c r="A21" t="s">
        <v>32</v>
      </c>
      <c r="B21">
        <v>397</v>
      </c>
      <c r="C21">
        <v>79059.679999999993</v>
      </c>
      <c r="D21">
        <v>183.43</v>
      </c>
      <c r="E21">
        <v>3.82</v>
      </c>
    </row>
    <row r="22" spans="1:5" x14ac:dyDescent="0.3">
      <c r="A22" t="s">
        <v>33</v>
      </c>
      <c r="B22">
        <v>335</v>
      </c>
      <c r="C22">
        <v>56574.19</v>
      </c>
      <c r="D22">
        <v>150.86000000000001</v>
      </c>
      <c r="E22">
        <v>3.9</v>
      </c>
    </row>
    <row r="23" spans="1:5" x14ac:dyDescent="0.3">
      <c r="A23" t="s">
        <v>34</v>
      </c>
      <c r="B23">
        <v>274</v>
      </c>
      <c r="C23">
        <v>48402.51</v>
      </c>
      <c r="D23">
        <v>156.13999999999999</v>
      </c>
      <c r="E23">
        <v>4.16</v>
      </c>
    </row>
    <row r="24" spans="1:5" x14ac:dyDescent="0.3">
      <c r="A24" t="s">
        <v>35</v>
      </c>
      <c r="B24">
        <v>243</v>
      </c>
      <c r="C24">
        <v>45682.76</v>
      </c>
      <c r="D24">
        <v>167.34</v>
      </c>
      <c r="E24">
        <v>4.07</v>
      </c>
    </row>
    <row r="25" spans="1:5" x14ac:dyDescent="0.3">
      <c r="A25" t="s">
        <v>36</v>
      </c>
      <c r="B25">
        <v>145</v>
      </c>
      <c r="C25">
        <v>22211.74</v>
      </c>
      <c r="D25">
        <v>135.44</v>
      </c>
      <c r="E25">
        <v>4.09</v>
      </c>
    </row>
    <row r="26" spans="1:5" x14ac:dyDescent="0.3">
      <c r="A26" t="s">
        <v>37</v>
      </c>
      <c r="B26">
        <v>80</v>
      </c>
      <c r="C26">
        <v>15930.97</v>
      </c>
      <c r="D26">
        <v>175.07</v>
      </c>
      <c r="E26">
        <v>4.13</v>
      </c>
    </row>
    <row r="27" spans="1:5" x14ac:dyDescent="0.3">
      <c r="A27" t="s">
        <v>38</v>
      </c>
      <c r="B27">
        <v>67</v>
      </c>
      <c r="C27">
        <v>13374.81</v>
      </c>
      <c r="D27">
        <v>165.12</v>
      </c>
      <c r="E27">
        <v>4.26</v>
      </c>
    </row>
    <row r="28" spans="1:5" x14ac:dyDescent="0.3">
      <c r="A28" t="s">
        <v>39</v>
      </c>
      <c r="B28">
        <v>41</v>
      </c>
      <c r="C28">
        <v>7057.47</v>
      </c>
      <c r="D28">
        <v>153.41999999999999</v>
      </c>
      <c r="E28">
        <v>3.89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workbookViewId="0">
      <pane ySplit="1" topLeftCell="A2" activePane="bottomLeft" state="frozen"/>
      <selection pane="bottomLeft"/>
    </sheetView>
  </sheetViews>
  <sheetFormatPr defaultRowHeight="14.4" x14ac:dyDescent="0.3"/>
  <cols>
    <col min="1" max="4" width="20" customWidth="1"/>
  </cols>
  <sheetData>
    <row r="1" spans="1:4" x14ac:dyDescent="0.3">
      <c r="A1" s="1" t="s">
        <v>40</v>
      </c>
      <c r="B1" s="1" t="s">
        <v>2</v>
      </c>
      <c r="C1" s="1" t="s">
        <v>3</v>
      </c>
      <c r="D1" s="1" t="s">
        <v>41</v>
      </c>
    </row>
    <row r="2" spans="1:4" x14ac:dyDescent="0.3">
      <c r="A2" t="s">
        <v>42</v>
      </c>
      <c r="B2">
        <v>1</v>
      </c>
      <c r="C2">
        <v>134.97</v>
      </c>
    </row>
    <row r="3" spans="1:4" x14ac:dyDescent="0.3">
      <c r="A3" t="s">
        <v>43</v>
      </c>
      <c r="B3">
        <v>265</v>
      </c>
      <c r="C3">
        <v>40451.800000000003</v>
      </c>
      <c r="D3">
        <v>29871</v>
      </c>
    </row>
    <row r="4" spans="1:4" x14ac:dyDescent="0.3">
      <c r="A4" t="s">
        <v>44</v>
      </c>
      <c r="B4">
        <v>1</v>
      </c>
      <c r="C4">
        <v>10.9</v>
      </c>
      <c r="D4">
        <v>-100</v>
      </c>
    </row>
    <row r="5" spans="1:4" x14ac:dyDescent="0.3">
      <c r="A5" t="s">
        <v>45</v>
      </c>
      <c r="B5">
        <v>750</v>
      </c>
      <c r="C5">
        <v>112573.39</v>
      </c>
      <c r="D5">
        <v>1032683.4</v>
      </c>
    </row>
    <row r="6" spans="1:4" x14ac:dyDescent="0.3">
      <c r="A6" t="s">
        <v>46</v>
      </c>
      <c r="B6">
        <v>1653</v>
      </c>
      <c r="C6">
        <v>235483.4</v>
      </c>
      <c r="D6">
        <v>109.2</v>
      </c>
    </row>
    <row r="7" spans="1:4" x14ac:dyDescent="0.3">
      <c r="A7" t="s">
        <v>47</v>
      </c>
      <c r="B7">
        <v>2546</v>
      </c>
      <c r="C7">
        <v>360865.25</v>
      </c>
      <c r="D7">
        <v>53.2</v>
      </c>
    </row>
    <row r="8" spans="1:4" x14ac:dyDescent="0.3">
      <c r="A8" t="s">
        <v>48</v>
      </c>
      <c r="B8">
        <v>2303</v>
      </c>
      <c r="C8">
        <v>341209.62</v>
      </c>
      <c r="D8">
        <v>-5.4</v>
      </c>
    </row>
    <row r="9" spans="1:4" x14ac:dyDescent="0.3">
      <c r="A9" t="s">
        <v>49</v>
      </c>
      <c r="B9">
        <v>3546</v>
      </c>
      <c r="C9">
        <v>492620.44</v>
      </c>
      <c r="D9">
        <v>44.4</v>
      </c>
    </row>
    <row r="10" spans="1:4" x14ac:dyDescent="0.3">
      <c r="A10" t="s">
        <v>50</v>
      </c>
      <c r="B10">
        <v>3135</v>
      </c>
      <c r="C10">
        <v>425387.66</v>
      </c>
      <c r="D10">
        <v>-13.6</v>
      </c>
    </row>
    <row r="11" spans="1:4" x14ac:dyDescent="0.3">
      <c r="A11" t="s">
        <v>51</v>
      </c>
      <c r="B11">
        <v>3872</v>
      </c>
      <c r="C11">
        <v>484637.74</v>
      </c>
      <c r="D11">
        <v>13.9</v>
      </c>
    </row>
    <row r="12" spans="1:4" x14ac:dyDescent="0.3">
      <c r="A12" t="s">
        <v>52</v>
      </c>
      <c r="B12">
        <v>4193</v>
      </c>
      <c r="C12">
        <v>559317.01</v>
      </c>
      <c r="D12">
        <v>15.4</v>
      </c>
    </row>
    <row r="13" spans="1:4" x14ac:dyDescent="0.3">
      <c r="A13" t="s">
        <v>53</v>
      </c>
      <c r="B13">
        <v>4150</v>
      </c>
      <c r="C13">
        <v>609750.15</v>
      </c>
      <c r="D13">
        <v>9</v>
      </c>
    </row>
    <row r="14" spans="1:4" x14ac:dyDescent="0.3">
      <c r="A14" t="s">
        <v>54</v>
      </c>
      <c r="B14">
        <v>4478</v>
      </c>
      <c r="C14">
        <v>651438.5</v>
      </c>
      <c r="D14">
        <v>6.8</v>
      </c>
    </row>
    <row r="15" spans="1:4" x14ac:dyDescent="0.3">
      <c r="A15" t="s">
        <v>55</v>
      </c>
      <c r="B15">
        <v>7289</v>
      </c>
      <c r="C15">
        <v>995199.94</v>
      </c>
      <c r="D15">
        <v>52.8</v>
      </c>
    </row>
    <row r="16" spans="1:4" x14ac:dyDescent="0.3">
      <c r="A16" t="s">
        <v>56</v>
      </c>
      <c r="B16">
        <v>5513</v>
      </c>
      <c r="C16">
        <v>728836.17</v>
      </c>
      <c r="D16">
        <v>-26.8</v>
      </c>
    </row>
    <row r="17" spans="1:4" x14ac:dyDescent="0.3">
      <c r="A17" t="s">
        <v>57</v>
      </c>
      <c r="B17">
        <v>7069</v>
      </c>
      <c r="C17">
        <v>930026.94</v>
      </c>
      <c r="D17">
        <v>27.6</v>
      </c>
    </row>
    <row r="18" spans="1:4" x14ac:dyDescent="0.3">
      <c r="A18" t="s">
        <v>58</v>
      </c>
      <c r="B18">
        <v>6555</v>
      </c>
      <c r="C18">
        <v>835720.63</v>
      </c>
      <c r="D18">
        <v>-10.1</v>
      </c>
    </row>
    <row r="19" spans="1:4" x14ac:dyDescent="0.3">
      <c r="A19" t="s">
        <v>59</v>
      </c>
      <c r="B19">
        <v>7003</v>
      </c>
      <c r="C19">
        <v>956923.96</v>
      </c>
      <c r="D19">
        <v>14.5</v>
      </c>
    </row>
    <row r="20" spans="1:4" x14ac:dyDescent="0.3">
      <c r="A20" t="s">
        <v>60</v>
      </c>
      <c r="B20">
        <v>6798</v>
      </c>
      <c r="C20">
        <v>975779.41</v>
      </c>
      <c r="D20">
        <v>2</v>
      </c>
    </row>
    <row r="21" spans="1:4" x14ac:dyDescent="0.3">
      <c r="A21" t="s">
        <v>61</v>
      </c>
      <c r="B21">
        <v>6749</v>
      </c>
      <c r="C21">
        <v>978065.68</v>
      </c>
      <c r="D21">
        <v>0.2</v>
      </c>
    </row>
    <row r="22" spans="1:4" x14ac:dyDescent="0.3">
      <c r="A22" t="s">
        <v>62</v>
      </c>
      <c r="B22">
        <v>6099</v>
      </c>
      <c r="C22">
        <v>856909.79</v>
      </c>
      <c r="D22">
        <v>-12.4</v>
      </c>
    </row>
    <row r="23" spans="1:4" x14ac:dyDescent="0.3">
      <c r="A23" t="s">
        <v>63</v>
      </c>
      <c r="B23">
        <v>6159</v>
      </c>
      <c r="C23">
        <v>869842.48</v>
      </c>
      <c r="D23">
        <v>1.5</v>
      </c>
    </row>
    <row r="24" spans="1:4" x14ac:dyDescent="0.3">
      <c r="A24" t="s">
        <v>64</v>
      </c>
      <c r="B24">
        <v>6351</v>
      </c>
      <c r="C24">
        <v>838650.76</v>
      </c>
      <c r="D24">
        <v>-3.6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pane ySplit="1" topLeftCell="A2" activePane="bottomLeft" state="frozen"/>
      <selection pane="bottomLeft"/>
    </sheetView>
  </sheetViews>
  <sheetFormatPr defaultRowHeight="14.4" x14ac:dyDescent="0.3"/>
  <cols>
    <col min="1" max="4" width="20" customWidth="1"/>
  </cols>
  <sheetData>
    <row r="1" spans="1:4" x14ac:dyDescent="0.3">
      <c r="A1" s="1" t="s">
        <v>65</v>
      </c>
      <c r="B1" s="1" t="s">
        <v>2</v>
      </c>
      <c r="C1" s="1" t="s">
        <v>10</v>
      </c>
      <c r="D1" s="1" t="s">
        <v>66</v>
      </c>
    </row>
    <row r="2" spans="1:4" x14ac:dyDescent="0.3">
      <c r="A2">
        <v>1</v>
      </c>
      <c r="B2">
        <v>12575</v>
      </c>
      <c r="C2">
        <v>19.12</v>
      </c>
      <c r="D2">
        <v>32</v>
      </c>
    </row>
    <row r="3" spans="1:4" x14ac:dyDescent="0.3">
      <c r="A3">
        <v>2</v>
      </c>
      <c r="B3">
        <v>3700</v>
      </c>
      <c r="C3">
        <v>15.34</v>
      </c>
      <c r="D3">
        <v>18</v>
      </c>
    </row>
    <row r="4" spans="1:4" x14ac:dyDescent="0.3">
      <c r="A4">
        <v>3</v>
      </c>
      <c r="B4">
        <v>9242</v>
      </c>
      <c r="C4">
        <v>13.58</v>
      </c>
      <c r="D4">
        <v>10</v>
      </c>
    </row>
    <row r="5" spans="1:4" x14ac:dyDescent="0.3">
      <c r="A5">
        <v>4</v>
      </c>
      <c r="B5">
        <v>21184</v>
      </c>
      <c r="C5">
        <v>11.75</v>
      </c>
      <c r="D5">
        <v>5</v>
      </c>
    </row>
    <row r="6" spans="1:4" x14ac:dyDescent="0.3">
      <c r="A6">
        <v>5</v>
      </c>
      <c r="B6">
        <v>63312</v>
      </c>
      <c r="C6">
        <v>10.19</v>
      </c>
      <c r="D6">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 Summary</vt:lpstr>
      <vt:lpstr>Sheet1</vt:lpstr>
      <vt:lpstr>Revenue by State</vt:lpstr>
      <vt:lpstr>Monthly Trend</vt:lpstr>
      <vt:lpstr>Delivery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Shaikh Mahi</cp:lastModifiedBy>
  <dcterms:created xsi:type="dcterms:W3CDTF">2026-05-05T07:57:23Z</dcterms:created>
  <dcterms:modified xsi:type="dcterms:W3CDTF">2026-05-05T08:04:36Z</dcterms:modified>
</cp:coreProperties>
</file>